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kap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i val="1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11" customWidth="1" min="12" max="12"/>
    <col width="15" customWidth="1" min="13" max="13"/>
  </cols>
  <sheetData>
    <row r="1">
      <c r="A1" s="1" t="inlineStr">
        <is>
          <t>Kuesioner SUS — Data &amp; Skor Otomatis</t>
        </is>
      </c>
    </row>
    <row r="2">
      <c r="A2" s="2" t="inlineStr">
        <is>
          <t>Isi hanya sel KUNING (P1–P10, skala 1–5). Skor SUS &amp; kategori terhitung otomatis. Baris CONTOH tidak dihitung. Pernyataan tiap item lihat sheet 'Rekap Item'.</t>
        </is>
      </c>
    </row>
    <row r="3">
      <c r="A3" s="3" t="inlineStr">
        <is>
          <t>Responden</t>
        </is>
      </c>
      <c r="B3" s="3" t="inlineStr">
        <is>
          <t>P1</t>
        </is>
      </c>
      <c r="C3" s="3" t="inlineStr">
        <is>
          <t>P2</t>
        </is>
      </c>
      <c r="D3" s="3" t="inlineStr">
        <is>
          <t>P3</t>
        </is>
      </c>
      <c r="E3" s="3" t="inlineStr">
        <is>
          <t>P4</t>
        </is>
      </c>
      <c r="F3" s="3" t="inlineStr">
        <is>
          <t>P5</t>
        </is>
      </c>
      <c r="G3" s="3" t="inlineStr">
        <is>
          <t>P6</t>
        </is>
      </c>
      <c r="H3" s="3" t="inlineStr">
        <is>
          <t>P7</t>
        </is>
      </c>
      <c r="I3" s="3" t="inlineStr">
        <is>
          <t>P8</t>
        </is>
      </c>
      <c r="J3" s="3" t="inlineStr">
        <is>
          <t>P9</t>
        </is>
      </c>
      <c r="K3" s="3" t="inlineStr">
        <is>
          <t>P10</t>
        </is>
      </c>
      <c r="L3" s="3" t="inlineStr">
        <is>
          <t>Skor SUS</t>
        </is>
      </c>
      <c r="M3" s="3" t="inlineStr">
        <is>
          <t>Kategori</t>
        </is>
      </c>
    </row>
    <row r="4">
      <c r="A4" s="4" t="inlineStr">
        <is>
          <t>CONTOH</t>
        </is>
      </c>
      <c r="B4" s="5" t="n">
        <v>4</v>
      </c>
      <c r="C4" s="5" t="n">
        <v>2</v>
      </c>
      <c r="D4" s="5" t="n">
        <v>5</v>
      </c>
      <c r="E4" s="5" t="n">
        <v>1</v>
      </c>
      <c r="F4" s="5" t="n">
        <v>4</v>
      </c>
      <c r="G4" s="5" t="n">
        <v>2</v>
      </c>
      <c r="H4" s="5" t="n">
        <v>5</v>
      </c>
      <c r="I4" s="5" t="n">
        <v>2</v>
      </c>
      <c r="J4" s="5" t="n">
        <v>4</v>
      </c>
      <c r="K4" s="5" t="n">
        <v>1</v>
      </c>
      <c r="L4" s="5">
        <f>IF(COUNT(B4:K4)=10,((B4-1)+(5-C4)+(D4-1)+(5-E4)+(F4-1)+(5-G4)+(H4-1)+(5-I4)+(J4-1)+(5-K4))*2.5,"")</f>
        <v/>
      </c>
      <c r="M4" s="5">
        <f>IF(L4="","",IF(L4&gt;=80.3,"Excellent (A)",IF(L4&gt;=68,"Good (B)",IF(L4&gt;=51,"OK (C)","Poor"))))</f>
        <v/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6">
        <f>IF(COUNT(B5:K5)=10,((B5-1)+(5-C5)+(D5-1)+(5-E5)+(F5-1)+(5-G5)+(H5-1)+(5-I5)+(J5-1)+(5-K5))*2.5,"")</f>
        <v/>
      </c>
      <c r="M5" s="6">
        <f>IF(L5="","",IF(L5&gt;=80.3,"Excellent (A)",IF(L5&gt;=68,"Good (B)",IF(L5&gt;=51,"OK (C)","Poor"))))</f>
        <v/>
      </c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6">
        <f>IF(COUNT(B6:K6)=10,((B6-1)+(5-C6)+(D6-1)+(5-E6)+(F6-1)+(5-G6)+(H6-1)+(5-I6)+(J6-1)+(5-K6))*2.5,"")</f>
        <v/>
      </c>
      <c r="M6" s="6">
        <f>IF(L6="","",IF(L6&gt;=80.3,"Excellent (A)",IF(L6&gt;=68,"Good (B)",IF(L6&gt;=51,"OK (C)","Poor"))))</f>
        <v/>
      </c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6">
        <f>IF(COUNT(B7:K7)=10,((B7-1)+(5-C7)+(D7-1)+(5-E7)+(F7-1)+(5-G7)+(H7-1)+(5-I7)+(J7-1)+(5-K7))*2.5,"")</f>
        <v/>
      </c>
      <c r="M7" s="6">
        <f>IF(L7="","",IF(L7&gt;=80.3,"Excellent (A)",IF(L7&gt;=68,"Good (B)",IF(L7&gt;=51,"OK (C)","Poor"))))</f>
        <v/>
      </c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6">
        <f>IF(COUNT(B8:K8)=10,((B8-1)+(5-C8)+(D8-1)+(5-E8)+(F8-1)+(5-G8)+(H8-1)+(5-I8)+(J8-1)+(5-K8))*2.5,"")</f>
        <v/>
      </c>
      <c r="M8" s="6">
        <f>IF(L8="","",IF(L8&gt;=80.3,"Excellent (A)",IF(L8&gt;=68,"Good (B)",IF(L8&gt;=51,"OK (C)","Poor"))))</f>
        <v/>
      </c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6">
        <f>IF(COUNT(B9:K9)=10,((B9-1)+(5-C9)+(D9-1)+(5-E9)+(F9-1)+(5-G9)+(H9-1)+(5-I9)+(J9-1)+(5-K9))*2.5,"")</f>
        <v/>
      </c>
      <c r="M9" s="6">
        <f>IF(L9="","",IF(L9&gt;=80.3,"Excellent (A)",IF(L9&gt;=68,"Good (B)",IF(L9&gt;=51,"OK (C)","Poor"))))</f>
        <v/>
      </c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6">
        <f>IF(COUNT(B10:K10)=10,((B10-1)+(5-C10)+(D10-1)+(5-E10)+(F10-1)+(5-G10)+(H10-1)+(5-I10)+(J10-1)+(5-K10))*2.5,"")</f>
        <v/>
      </c>
      <c r="M10" s="6">
        <f>IF(L10="","",IF(L10&gt;=80.3,"Excellent (A)",IF(L10&gt;=68,"Good (B)",IF(L10&gt;=51,"OK (C)","Poor"))))</f>
        <v/>
      </c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6">
        <f>IF(COUNT(B11:K11)=10,((B11-1)+(5-C11)+(D11-1)+(5-E11)+(F11-1)+(5-G11)+(H11-1)+(5-I11)+(J11-1)+(5-K11))*2.5,"")</f>
        <v/>
      </c>
      <c r="M11" s="6">
        <f>IF(L11="","",IF(L11&gt;=80.3,"Excellent (A)",IF(L11&gt;=68,"Good (B)",IF(L11&gt;=51,"OK (C)","Poor"))))</f>
        <v/>
      </c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>
        <f>IF(COUNT(B12:K12)=10,((B12-1)+(5-C12)+(D12-1)+(5-E12)+(F12-1)+(5-G12)+(H12-1)+(5-I12)+(J12-1)+(5-K12))*2.5,"")</f>
        <v/>
      </c>
      <c r="M12" s="6">
        <f>IF(L12="","",IF(L12&gt;=80.3,"Excellent (A)",IF(L12&gt;=68,"Good (B)",IF(L12&gt;=51,"OK (C)","Poor"))))</f>
        <v/>
      </c>
    </row>
    <row r="13">
      <c r="A13" s="6" t="n">
        <v>9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6">
        <f>IF(COUNT(B13:K13)=10,((B13-1)+(5-C13)+(D13-1)+(5-E13)+(F13-1)+(5-G13)+(H13-1)+(5-I13)+(J13-1)+(5-K13))*2.5,"")</f>
        <v/>
      </c>
      <c r="M13" s="6">
        <f>IF(L13="","",IF(L13&gt;=80.3,"Excellent (A)",IF(L13&gt;=68,"Good (B)",IF(L13&gt;=51,"OK (C)","Poor"))))</f>
        <v/>
      </c>
    </row>
    <row r="14">
      <c r="A14" s="6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>
        <f>IF(COUNT(B14:K14)=10,((B14-1)+(5-C14)+(D14-1)+(5-E14)+(F14-1)+(5-G14)+(H14-1)+(5-I14)+(J14-1)+(5-K14))*2.5,"")</f>
        <v/>
      </c>
      <c r="M14" s="6">
        <f>IF(L14="","",IF(L14&gt;=80.3,"Excellent (A)",IF(L14&gt;=68,"Good (B)",IF(L14&gt;=51,"OK (C)","Poor"))))</f>
        <v/>
      </c>
    </row>
    <row r="15">
      <c r="A15" s="6" t="n">
        <v>11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6">
        <f>IF(COUNT(B15:K15)=10,((B15-1)+(5-C15)+(D15-1)+(5-E15)+(F15-1)+(5-G15)+(H15-1)+(5-I15)+(J15-1)+(5-K15))*2.5,"")</f>
        <v/>
      </c>
      <c r="M15" s="6">
        <f>IF(L15="","",IF(L15&gt;=80.3,"Excellent (A)",IF(L15&gt;=68,"Good (B)",IF(L15&gt;=51,"OK (C)","Poor"))))</f>
        <v/>
      </c>
    </row>
    <row r="16">
      <c r="A16" s="6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>
        <f>IF(COUNT(B16:K16)=10,((B16-1)+(5-C16)+(D16-1)+(5-E16)+(F16-1)+(5-G16)+(H16-1)+(5-I16)+(J16-1)+(5-K16))*2.5,"")</f>
        <v/>
      </c>
      <c r="M16" s="6">
        <f>IF(L16="","",IF(L16&gt;=80.3,"Excellent (A)",IF(L16&gt;=68,"Good (B)",IF(L16&gt;=51,"OK (C)","Poor"))))</f>
        <v/>
      </c>
    </row>
    <row r="17">
      <c r="A17" s="6" t="n">
        <v>13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>
        <f>IF(COUNT(B17:K17)=10,((B17-1)+(5-C17)+(D17-1)+(5-E17)+(F17-1)+(5-G17)+(H17-1)+(5-I17)+(J17-1)+(5-K17))*2.5,"")</f>
        <v/>
      </c>
      <c r="M17" s="6">
        <f>IF(L17="","",IF(L17&gt;=80.3,"Excellent (A)",IF(L17&gt;=68,"Good (B)",IF(L17&gt;=51,"OK (C)","Poor"))))</f>
        <v/>
      </c>
    </row>
    <row r="18">
      <c r="A18" s="6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>
        <f>IF(COUNT(B18:K18)=10,((B18-1)+(5-C18)+(D18-1)+(5-E18)+(F18-1)+(5-G18)+(H18-1)+(5-I18)+(J18-1)+(5-K18))*2.5,"")</f>
        <v/>
      </c>
      <c r="M18" s="6">
        <f>IF(L18="","",IF(L18&gt;=80.3,"Excellent (A)",IF(L18&gt;=68,"Good (B)",IF(L18&gt;=51,"OK (C)","Poor"))))</f>
        <v/>
      </c>
    </row>
    <row r="19">
      <c r="A19" s="6" t="n">
        <v>15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>
        <f>IF(COUNT(B19:K19)=10,((B19-1)+(5-C19)+(D19-1)+(5-E19)+(F19-1)+(5-G19)+(H19-1)+(5-I19)+(J19-1)+(5-K19))*2.5,"")</f>
        <v/>
      </c>
      <c r="M19" s="6">
        <f>IF(L19="","",IF(L19&gt;=80.3,"Excellent (A)",IF(L19&gt;=68,"Good (B)",IF(L19&gt;=51,"OK (C)","Poor"))))</f>
        <v/>
      </c>
    </row>
    <row r="20">
      <c r="A20" s="6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>
        <f>IF(COUNT(B20:K20)=10,((B20-1)+(5-C20)+(D20-1)+(5-E20)+(F20-1)+(5-G20)+(H20-1)+(5-I20)+(J20-1)+(5-K20))*2.5,"")</f>
        <v/>
      </c>
      <c r="M20" s="6">
        <f>IF(L20="","",IF(L20&gt;=80.3,"Excellent (A)",IF(L20&gt;=68,"Good (B)",IF(L20&gt;=51,"OK (C)","Poor"))))</f>
        <v/>
      </c>
    </row>
    <row r="21">
      <c r="A21" s="6" t="n">
        <v>17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>
        <f>IF(COUNT(B21:K21)=10,((B21-1)+(5-C21)+(D21-1)+(5-E21)+(F21-1)+(5-G21)+(H21-1)+(5-I21)+(J21-1)+(5-K21))*2.5,"")</f>
        <v/>
      </c>
      <c r="M21" s="6">
        <f>IF(L21="","",IF(L21&gt;=80.3,"Excellent (A)",IF(L21&gt;=68,"Good (B)",IF(L21&gt;=51,"OK (C)","Poor"))))</f>
        <v/>
      </c>
    </row>
    <row r="22">
      <c r="A22" s="6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>
        <f>IF(COUNT(B22:K22)=10,((B22-1)+(5-C22)+(D22-1)+(5-E22)+(F22-1)+(5-G22)+(H22-1)+(5-I22)+(J22-1)+(5-K22))*2.5,"")</f>
        <v/>
      </c>
      <c r="M22" s="6">
        <f>IF(L22="","",IF(L22&gt;=80.3,"Excellent (A)",IF(L22&gt;=68,"Good (B)",IF(L22&gt;=51,"OK (C)","Poor"))))</f>
        <v/>
      </c>
    </row>
    <row r="23">
      <c r="A23" s="6" t="n">
        <v>19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>
        <f>IF(COUNT(B23:K23)=10,((B23-1)+(5-C23)+(D23-1)+(5-E23)+(F23-1)+(5-G23)+(H23-1)+(5-I23)+(J23-1)+(5-K23))*2.5,"")</f>
        <v/>
      </c>
      <c r="M23" s="6">
        <f>IF(L23="","",IF(L23&gt;=80.3,"Excellent (A)",IF(L23&gt;=68,"Good (B)",IF(L23&gt;=51,"OK (C)","Poor"))))</f>
        <v/>
      </c>
    </row>
    <row r="24">
      <c r="A24" s="6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>
        <f>IF(COUNT(B24:K24)=10,((B24-1)+(5-C24)+(D24-1)+(5-E24)+(F24-1)+(5-G24)+(H24-1)+(5-I24)+(J24-1)+(5-K24))*2.5,"")</f>
        <v/>
      </c>
      <c r="M24" s="6">
        <f>IF(L24="","",IF(L24&gt;=80.3,"Excellent (A)",IF(L24&gt;=68,"Good (B)",IF(L24&gt;=51,"OK (C)","Poor"))))</f>
        <v/>
      </c>
    </row>
    <row r="25">
      <c r="A25" s="6" t="n">
        <v>21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>
        <f>IF(COUNT(B25:K25)=10,((B25-1)+(5-C25)+(D25-1)+(5-E25)+(F25-1)+(5-G25)+(H25-1)+(5-I25)+(J25-1)+(5-K25))*2.5,"")</f>
        <v/>
      </c>
      <c r="M25" s="6">
        <f>IF(L25="","",IF(L25&gt;=80.3,"Excellent (A)",IF(L25&gt;=68,"Good (B)",IF(L25&gt;=51,"OK (C)","Poor"))))</f>
        <v/>
      </c>
    </row>
    <row r="26">
      <c r="A26" s="6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>
        <f>IF(COUNT(B26:K26)=10,((B26-1)+(5-C26)+(D26-1)+(5-E26)+(F26-1)+(5-G26)+(H26-1)+(5-I26)+(J26-1)+(5-K26))*2.5,"")</f>
        <v/>
      </c>
      <c r="M26" s="6">
        <f>IF(L26="","",IF(L26&gt;=80.3,"Excellent (A)",IF(L26&gt;=68,"Good (B)",IF(L26&gt;=51,"OK (C)","Poor"))))</f>
        <v/>
      </c>
    </row>
    <row r="27">
      <c r="A27" s="6" t="n">
        <v>23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>
        <f>IF(COUNT(B27:K27)=10,((B27-1)+(5-C27)+(D27-1)+(5-E27)+(F27-1)+(5-G27)+(H27-1)+(5-I27)+(J27-1)+(5-K27))*2.5,"")</f>
        <v/>
      </c>
      <c r="M27" s="6">
        <f>IF(L27="","",IF(L27&gt;=80.3,"Excellent (A)",IF(L27&gt;=68,"Good (B)",IF(L27&gt;=51,"OK (C)","Poor"))))</f>
        <v/>
      </c>
    </row>
    <row r="28">
      <c r="A28" s="6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>
        <f>IF(COUNT(B28:K28)=10,((B28-1)+(5-C28)+(D28-1)+(5-E28)+(F28-1)+(5-G28)+(H28-1)+(5-I28)+(J28-1)+(5-K28))*2.5,"")</f>
        <v/>
      </c>
      <c r="M28" s="6">
        <f>IF(L28="","",IF(L28&gt;=80.3,"Excellent (A)",IF(L28&gt;=68,"Good (B)",IF(L28&gt;=51,"OK (C)","Poor"))))</f>
        <v/>
      </c>
    </row>
    <row r="29">
      <c r="A29" s="6" t="n">
        <v>25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>
        <f>IF(COUNT(B29:K29)=10,((B29-1)+(5-C29)+(D29-1)+(5-E29)+(F29-1)+(5-G29)+(H29-1)+(5-I29)+(J29-1)+(5-K29))*2.5,"")</f>
        <v/>
      </c>
      <c r="M29" s="6">
        <f>IF(L29="","",IF(L29&gt;=80.3,"Excellent (A)",IF(L29&gt;=68,"Good (B)",IF(L29&gt;=51,"OK (C)","Poor"))))</f>
        <v/>
      </c>
    </row>
    <row r="30">
      <c r="A30" s="6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>
        <f>IF(COUNT(B30:K30)=10,((B30-1)+(5-C30)+(D30-1)+(5-E30)+(F30-1)+(5-G30)+(H30-1)+(5-I30)+(J30-1)+(5-K30))*2.5,"")</f>
        <v/>
      </c>
      <c r="M30" s="6">
        <f>IF(L30="","",IF(L30&gt;=80.3,"Excellent (A)",IF(L30&gt;=68,"Good (B)",IF(L30&gt;=51,"OK (C)","Poor"))))</f>
        <v/>
      </c>
    </row>
    <row r="31">
      <c r="A31" s="6" t="n">
        <v>27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>
        <f>IF(COUNT(B31:K31)=10,((B31-1)+(5-C31)+(D31-1)+(5-E31)+(F31-1)+(5-G31)+(H31-1)+(5-I31)+(J31-1)+(5-K31))*2.5,"")</f>
        <v/>
      </c>
      <c r="M31" s="6">
        <f>IF(L31="","",IF(L31&gt;=80.3,"Excellent (A)",IF(L31&gt;=68,"Good (B)",IF(L31&gt;=51,"OK (C)","Poor"))))</f>
        <v/>
      </c>
    </row>
    <row r="32">
      <c r="A32" s="6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>
        <f>IF(COUNT(B32:K32)=10,((B32-1)+(5-C32)+(D32-1)+(5-E32)+(F32-1)+(5-G32)+(H32-1)+(5-I32)+(J32-1)+(5-K32))*2.5,"")</f>
        <v/>
      </c>
      <c r="M32" s="6">
        <f>IF(L32="","",IF(L32&gt;=80.3,"Excellent (A)",IF(L32&gt;=68,"Good (B)",IF(L32&gt;=51,"OK (C)","Poor"))))</f>
        <v/>
      </c>
    </row>
    <row r="33">
      <c r="A33" s="6" t="n">
        <v>29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>
        <f>IF(COUNT(B33:K33)=10,((B33-1)+(5-C33)+(D33-1)+(5-E33)+(F33-1)+(5-G33)+(H33-1)+(5-I33)+(J33-1)+(5-K33))*2.5,"")</f>
        <v/>
      </c>
      <c r="M33" s="6">
        <f>IF(L33="","",IF(L33&gt;=80.3,"Excellent (A)",IF(L33&gt;=68,"Good (B)",IF(L33&gt;=51,"OK (C)","Poor"))))</f>
        <v/>
      </c>
    </row>
    <row r="34">
      <c r="A34" s="6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>
        <f>IF(COUNT(B34:K34)=10,((B34-1)+(5-C34)+(D34-1)+(5-E34)+(F34-1)+(5-G34)+(H34-1)+(5-I34)+(J34-1)+(5-K34))*2.5,"")</f>
        <v/>
      </c>
      <c r="M34" s="6">
        <f>IF(L34="","",IF(L34&gt;=80.3,"Excellent (A)",IF(L34&gt;=68,"Good (B)",IF(L34&gt;=51,"OK (C)","Poor"))))</f>
        <v/>
      </c>
    </row>
    <row r="35">
      <c r="A35" s="6" t="n">
        <v>31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>
        <f>IF(COUNT(B35:K35)=10,((B35-1)+(5-C35)+(D35-1)+(5-E35)+(F35-1)+(5-G35)+(H35-1)+(5-I35)+(J35-1)+(5-K35))*2.5,"")</f>
        <v/>
      </c>
      <c r="M35" s="6">
        <f>IF(L35="","",IF(L35&gt;=80.3,"Excellent (A)",IF(L35&gt;=68,"Good (B)",IF(L35&gt;=51,"OK (C)","Poor"))))</f>
        <v/>
      </c>
    </row>
    <row r="36">
      <c r="A36" s="6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>
        <f>IF(COUNT(B36:K36)=10,((B36-1)+(5-C36)+(D36-1)+(5-E36)+(F36-1)+(5-G36)+(H36-1)+(5-I36)+(J36-1)+(5-K36))*2.5,"")</f>
        <v/>
      </c>
      <c r="M36" s="6">
        <f>IF(L36="","",IF(L36&gt;=80.3,"Excellent (A)",IF(L36&gt;=68,"Good (B)",IF(L36&gt;=51,"OK (C)","Poor"))))</f>
        <v/>
      </c>
    </row>
    <row r="37">
      <c r="A37" s="6" t="n">
        <v>33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>
        <f>IF(COUNT(B37:K37)=10,((B37-1)+(5-C37)+(D37-1)+(5-E37)+(F37-1)+(5-G37)+(H37-1)+(5-I37)+(J37-1)+(5-K37))*2.5,"")</f>
        <v/>
      </c>
      <c r="M37" s="6">
        <f>IF(L37="","",IF(L37&gt;=80.3,"Excellent (A)",IF(L37&gt;=68,"Good (B)",IF(L37&gt;=51,"OK (C)","Poor"))))</f>
        <v/>
      </c>
    </row>
    <row r="38">
      <c r="A38" s="6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>
        <f>IF(COUNT(B38:K38)=10,((B38-1)+(5-C38)+(D38-1)+(5-E38)+(F38-1)+(5-G38)+(H38-1)+(5-I38)+(J38-1)+(5-K38))*2.5,"")</f>
        <v/>
      </c>
      <c r="M38" s="6">
        <f>IF(L38="","",IF(L38&gt;=80.3,"Excellent (A)",IF(L38&gt;=68,"Good (B)",IF(L38&gt;=51,"OK (C)","Poor"))))</f>
        <v/>
      </c>
    </row>
    <row r="39">
      <c r="A39" s="6" t="n">
        <v>35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>
        <f>IF(COUNT(B39:K39)=10,((B39-1)+(5-C39)+(D39-1)+(5-E39)+(F39-1)+(5-G39)+(H39-1)+(5-I39)+(J39-1)+(5-K39))*2.5,"")</f>
        <v/>
      </c>
      <c r="M39" s="6">
        <f>IF(L39="","",IF(L39&gt;=80.3,"Excellent (A)",IF(L39&gt;=68,"Good (B)",IF(L39&gt;=51,"OK (C)","Poor"))))</f>
        <v/>
      </c>
    </row>
    <row r="40">
      <c r="A40" s="6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>
        <f>IF(COUNT(B40:K40)=10,((B40-1)+(5-C40)+(D40-1)+(5-E40)+(F40-1)+(5-G40)+(H40-1)+(5-I40)+(J40-1)+(5-K40))*2.5,"")</f>
        <v/>
      </c>
      <c r="M40" s="6">
        <f>IF(L40="","",IF(L40&gt;=80.3,"Excellent (A)",IF(L40&gt;=68,"Good (B)",IF(L40&gt;=51,"OK (C)","Poor"))))</f>
        <v/>
      </c>
    </row>
    <row r="41">
      <c r="A41" s="6" t="n">
        <v>37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6">
        <f>IF(COUNT(B41:K41)=10,((B41-1)+(5-C41)+(D41-1)+(5-E41)+(F41-1)+(5-G41)+(H41-1)+(5-I41)+(J41-1)+(5-K41))*2.5,"")</f>
        <v/>
      </c>
      <c r="M41" s="6">
        <f>IF(L41="","",IF(L41&gt;=80.3,"Excellent (A)",IF(L41&gt;=68,"Good (B)",IF(L41&gt;=51,"OK (C)","Poor"))))</f>
        <v/>
      </c>
    </row>
    <row r="42">
      <c r="A42" s="6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6">
        <f>IF(COUNT(B42:K42)=10,((B42-1)+(5-C42)+(D42-1)+(5-E42)+(F42-1)+(5-G42)+(H42-1)+(5-I42)+(J42-1)+(5-K42))*2.5,"")</f>
        <v/>
      </c>
      <c r="M42" s="6">
        <f>IF(L42="","",IF(L42&gt;=80.3,"Excellent (A)",IF(L42&gt;=68,"Good (B)",IF(L42&gt;=51,"OK (C)","Poor"))))</f>
        <v/>
      </c>
    </row>
    <row r="43">
      <c r="A43" s="6" t="n">
        <v>39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6">
        <f>IF(COUNT(B43:K43)=10,((B43-1)+(5-C43)+(D43-1)+(5-E43)+(F43-1)+(5-G43)+(H43-1)+(5-I43)+(J43-1)+(5-K43))*2.5,"")</f>
        <v/>
      </c>
      <c r="M43" s="6">
        <f>IF(L43="","",IF(L43&gt;=80.3,"Excellent (A)",IF(L43&gt;=68,"Good (B)",IF(L43&gt;=51,"OK (C)","Poor"))))</f>
        <v/>
      </c>
    </row>
    <row r="44">
      <c r="A44" s="6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6">
        <f>IF(COUNT(B44:K44)=10,((B44-1)+(5-C44)+(D44-1)+(5-E44)+(F44-1)+(5-G44)+(H44-1)+(5-I44)+(J44-1)+(5-K44))*2.5,"")</f>
        <v/>
      </c>
      <c r="M44" s="6">
        <f>IF(L44="","",IF(L44&gt;=80.3,"Excellent (A)",IF(L44&gt;=68,"Good (B)",IF(L44&gt;=51,"OK (C)","Poor"))))</f>
        <v/>
      </c>
    </row>
    <row r="46">
      <c r="A46" s="8" t="inlineStr">
        <is>
          <t>Jumlah responden terisi</t>
        </is>
      </c>
      <c r="L46" s="9">
        <f>COUNT(L5:L44)</f>
        <v/>
      </c>
    </row>
    <row r="47">
      <c r="A47" s="8" t="inlineStr">
        <is>
          <t>Skor SUS rata-rata</t>
        </is>
      </c>
      <c r="L47" s="9">
        <f>IFERROR(ROUND(AVERAGE(L5:L44),1),"")</f>
        <v/>
      </c>
    </row>
    <row r="48">
      <c r="A48" s="8" t="inlineStr">
        <is>
          <t>Kategori akhir (Bangor)</t>
        </is>
      </c>
      <c r="L48" s="9">
        <f>IF(L47="","",IF(L47&gt;=80.3,"Excellent (A)",IF(L47&gt;=68,"Good (B)",IF(L47&gt;=51,"OK (C)","Poor"))))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6" customWidth="1" min="3" max="3"/>
    <col width="16" customWidth="1" min="4" max="4"/>
  </cols>
  <sheetData>
    <row r="1">
      <c r="A1" s="1" t="inlineStr">
        <is>
          <t>Rekap Skor per Item SUS (untuk Tabel 6 &amp; Gambar 11)</t>
        </is>
      </c>
    </row>
    <row r="2">
      <c r="A2" s="3" t="inlineStr">
        <is>
          <t>No</t>
        </is>
      </c>
      <c r="B2" s="3" t="inlineStr">
        <is>
          <t>Pernyataan</t>
        </is>
      </c>
      <c r="C2" s="3" t="inlineStr">
        <is>
          <t>Skor Rerata (1-5)</t>
        </is>
      </c>
      <c r="D2" s="3" t="inlineStr">
        <is>
          <t>Bobot Kontribusi</t>
        </is>
      </c>
    </row>
    <row r="3">
      <c r="A3" s="6" t="n">
        <v>1</v>
      </c>
      <c r="B3" s="10" t="inlineStr">
        <is>
          <t>Saya rasa saya ingin lebih sering menggunakan sistem ini.</t>
        </is>
      </c>
      <c r="C3" s="6">
        <f>IFERROR(ROUND(AVERAGE(Data!B5:B44),2),"")</f>
        <v/>
      </c>
      <c r="D3" s="6">
        <f>IF(C3="","",C3-1)</f>
        <v/>
      </c>
    </row>
    <row r="4">
      <c r="A4" s="6" t="n">
        <v>2</v>
      </c>
      <c r="B4" s="10" t="inlineStr">
        <is>
          <t>Saya menganggap sistem ini terlalu rumit.</t>
        </is>
      </c>
      <c r="C4" s="6">
        <f>IFERROR(ROUND(AVERAGE(Data!C5:C44),2),"")</f>
        <v/>
      </c>
      <c r="D4" s="6">
        <f>IF(C4="","",5-C4)</f>
        <v/>
      </c>
    </row>
    <row r="5">
      <c r="A5" s="6" t="n">
        <v>3</v>
      </c>
      <c r="B5" s="10" t="inlineStr">
        <is>
          <t>Saya rasa sistem ini mudah digunakan.</t>
        </is>
      </c>
      <c r="C5" s="6">
        <f>IFERROR(ROUND(AVERAGE(Data!D5:D44),2),"")</f>
        <v/>
      </c>
      <c r="D5" s="6">
        <f>IF(C5="","",C5-1)</f>
        <v/>
      </c>
    </row>
    <row r="6">
      <c r="A6" s="6" t="n">
        <v>4</v>
      </c>
      <c r="B6" s="10" t="inlineStr">
        <is>
          <t>Saya rasa saya butuh bantuan orang teknis untuk menggunakan sistem ini.</t>
        </is>
      </c>
      <c r="C6" s="6">
        <f>IFERROR(ROUND(AVERAGE(Data!E5:E44),2),"")</f>
        <v/>
      </c>
      <c r="D6" s="6">
        <f>IF(C6="","",5-C6)</f>
        <v/>
      </c>
    </row>
    <row r="7">
      <c r="A7" s="6" t="n">
        <v>5</v>
      </c>
      <c r="B7" s="10" t="inlineStr">
        <is>
          <t>Saya menemukan berbagai fungsi dalam sistem ini terintegrasi dengan baik.</t>
        </is>
      </c>
      <c r="C7" s="6">
        <f>IFERROR(ROUND(AVERAGE(Data!F5:F44),2),"")</f>
        <v/>
      </c>
      <c r="D7" s="6">
        <f>IF(C7="","",C7-1)</f>
        <v/>
      </c>
    </row>
    <row r="8">
      <c r="A8" s="6" t="n">
        <v>6</v>
      </c>
      <c r="B8" s="10" t="inlineStr">
        <is>
          <t>Saya rasa terlalu banyak ketidakkonsistenan dalam sistem ini.</t>
        </is>
      </c>
      <c r="C8" s="6">
        <f>IFERROR(ROUND(AVERAGE(Data!G5:G44),2),"")</f>
        <v/>
      </c>
      <c r="D8" s="6">
        <f>IF(C8="","",5-C8)</f>
        <v/>
      </c>
    </row>
    <row r="9">
      <c r="A9" s="6" t="n">
        <v>7</v>
      </c>
      <c r="B9" s="10" t="inlineStr">
        <is>
          <t>Saya rasa kebanyakan orang akan cepat belajar menggunakan sistem ini.</t>
        </is>
      </c>
      <c r="C9" s="6">
        <f>IFERROR(ROUND(AVERAGE(Data!H5:H44),2),"")</f>
        <v/>
      </c>
      <c r="D9" s="6">
        <f>IF(C9="","",C9-1)</f>
        <v/>
      </c>
    </row>
    <row r="10">
      <c r="A10" s="6" t="n">
        <v>8</v>
      </c>
      <c r="B10" s="10" t="inlineStr">
        <is>
          <t>Saya merasa sistem ini janggal/menyulitkan saat digunakan.</t>
        </is>
      </c>
      <c r="C10" s="6">
        <f>IFERROR(ROUND(AVERAGE(Data!I5:I44),2),"")</f>
        <v/>
      </c>
      <c r="D10" s="6">
        <f>IF(C10="","",5-C10)</f>
        <v/>
      </c>
    </row>
    <row r="11">
      <c r="A11" s="6" t="n">
        <v>9</v>
      </c>
      <c r="B11" s="10" t="inlineStr">
        <is>
          <t>Saya merasa sangat percaya diri menggunakan sistem ini.</t>
        </is>
      </c>
      <c r="C11" s="6">
        <f>IFERROR(ROUND(AVERAGE(Data!J5:J44),2),"")</f>
        <v/>
      </c>
      <c r="D11" s="6">
        <f>IF(C11="","",C11-1)</f>
        <v/>
      </c>
    </row>
    <row r="12">
      <c r="A12" s="6" t="n">
        <v>10</v>
      </c>
      <c r="B12" s="10" t="inlineStr">
        <is>
          <t>Saya perlu belajar banyak hal sebelum bisa menggunakan sistem ini.</t>
        </is>
      </c>
      <c r="C12" s="6">
        <f>IFERROR(ROUND(AVERAGE(Data!K5:K44),2),"")</f>
        <v/>
      </c>
      <c r="D12" s="6">
        <f>IF(C12="","",5-C12)</f>
        <v/>
      </c>
    </row>
    <row r="13">
      <c r="B13" s="11" t="inlineStr">
        <is>
          <t>Total bobot / Skor SUS (×2,5)</t>
        </is>
      </c>
      <c r="D13" s="12">
        <f>IFERROR(SUM(D3:D12)*2.5,"")</f>
        <v/>
      </c>
    </row>
    <row r="15">
      <c r="A15" s="2" t="inlineStr">
        <is>
          <t>Catatan: Skor SUS di sini (rata-rata item ×2,5) = Skor SUS rata-rata di sheet Data.</t>
        </is>
      </c>
    </row>
  </sheetData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2026-09-22T15:54:49Z</dcterms:created>
  <dcterms:modified xsi:type="dcterms:W3CDTF">2026-09-22T15:54:49Z</dcterms:modified>
</cp:coreProperties>
</file>